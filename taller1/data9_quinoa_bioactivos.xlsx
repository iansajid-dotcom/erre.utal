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anolico" sheetId="1" state="visible" r:id="rId3"/>
    <sheet name="acuos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<sst xmlns="http://schemas.openxmlformats.org/spreadsheetml/2006/main" count="56" uniqueCount="11">
  <si>
    <t xml:space="preserve">Botrytis</t>
  </si>
  <si>
    <t xml:space="preserve">1</t>
  </si>
  <si>
    <t xml:space="preserve">5</t>
  </si>
  <si>
    <t xml:space="preserve">10</t>
  </si>
  <si>
    <t xml:space="preserve">inhibido</t>
  </si>
  <si>
    <t xml:space="preserve">no_inhibido</t>
  </si>
  <si>
    <t xml:space="preserve">Sumatoria</t>
  </si>
  <si>
    <t xml:space="preserve">media</t>
  </si>
  <si>
    <t xml:space="preserve">desv</t>
  </si>
  <si>
    <t xml:space="preserve">% inhibicion</t>
  </si>
  <si>
    <t xml:space="preserve">Fusarium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</si>
</sst>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/>
      <c r="E2" s="2" t="s">
        <v>2</v>
      </c>
      <c r="F2" s="2"/>
      <c r="H2" s="2" t="s">
        <v>3</v>
      </c>
      <c r="I2" s="2"/>
    </row>
    <row r="3" customFormat="false" ht="15" hidden="false" customHeight="false" outlineLevel="0" collapsed="false">
      <c r="B3" s="3" t="s">
        <v>4</v>
      </c>
      <c r="C3" s="3" t="s">
        <v>5</v>
      </c>
      <c r="E3" s="3" t="s">
        <v>4</v>
      </c>
      <c r="F3" s="3" t="s">
        <v>5</v>
      </c>
      <c r="H3" s="3" t="s">
        <v>4</v>
      </c>
      <c r="I3" s="3" t="s">
        <v>5</v>
      </c>
    </row>
    <row r="4" customFormat="false" ht="15" hidden="false" customHeight="false" outlineLevel="0" collapsed="false">
      <c r="B4" s="4" t="n">
        <v>1</v>
      </c>
      <c r="C4" s="4" t="n">
        <v>1</v>
      </c>
      <c r="E4" s="4" t="n">
        <v>0</v>
      </c>
      <c r="F4" s="4" t="n">
        <v>1</v>
      </c>
      <c r="H4" s="4" t="n">
        <v>0</v>
      </c>
      <c r="I4" s="4" t="n">
        <v>0</v>
      </c>
    </row>
    <row r="5" customFormat="false" ht="15" hidden="false" customHeight="false" outlineLevel="0" collapsed="false">
      <c r="B5" s="4" t="n">
        <v>0</v>
      </c>
      <c r="C5" s="4" t="n">
        <v>0</v>
      </c>
      <c r="E5" s="4" t="n">
        <v>0</v>
      </c>
      <c r="F5" s="4" t="n">
        <v>1</v>
      </c>
      <c r="H5" s="4" t="n">
        <v>0</v>
      </c>
      <c r="I5" s="4" t="n">
        <v>0</v>
      </c>
    </row>
    <row r="6" customFormat="false" ht="15" hidden="false" customHeight="false" outlineLevel="0" collapsed="false">
      <c r="B6" s="4" t="n">
        <v>0</v>
      </c>
      <c r="C6" s="4" t="n">
        <v>0</v>
      </c>
      <c r="E6" s="4" t="n">
        <v>0</v>
      </c>
      <c r="F6" s="4" t="n">
        <v>0</v>
      </c>
      <c r="H6" s="4" t="n">
        <v>1</v>
      </c>
      <c r="I6" s="4" t="n">
        <v>0</v>
      </c>
    </row>
    <row r="7" customFormat="false" ht="15" hidden="false" customHeight="false" outlineLevel="0" collapsed="false">
      <c r="B7" s="4" t="n">
        <v>0</v>
      </c>
      <c r="C7" s="4" t="n">
        <v>0</v>
      </c>
      <c r="E7" s="4" t="n">
        <v>1</v>
      </c>
      <c r="F7" s="4" t="n">
        <v>0</v>
      </c>
      <c r="H7" s="4" t="n">
        <v>1</v>
      </c>
      <c r="I7" s="4" t="n">
        <v>0</v>
      </c>
    </row>
    <row r="8" customFormat="false" ht="15" hidden="false" customHeight="false" outlineLevel="0" collapsed="false">
      <c r="B8" s="4" t="n">
        <v>0</v>
      </c>
      <c r="C8" s="4" t="n">
        <v>1</v>
      </c>
      <c r="E8" s="4" t="n">
        <v>0</v>
      </c>
      <c r="F8" s="4" t="n">
        <v>1</v>
      </c>
      <c r="H8" s="4" t="n">
        <v>0</v>
      </c>
      <c r="I8" s="4" t="n">
        <v>0</v>
      </c>
    </row>
    <row r="9" customFormat="false" ht="15" hidden="false" customHeight="false" outlineLevel="0" collapsed="false">
      <c r="A9" s="3" t="s">
        <v>6</v>
      </c>
      <c r="B9" s="0" t="n">
        <f aca="false">SUM(B4:B8)</f>
        <v>1</v>
      </c>
      <c r="C9" s="0" t="n">
        <f aca="false">SUM(C4:C8)</f>
        <v>2</v>
      </c>
      <c r="E9" s="0" t="n">
        <f aca="false">SUM(E4:E8)</f>
        <v>1</v>
      </c>
      <c r="F9" s="0" t="n">
        <f aca="false">SUM(F4:F8)</f>
        <v>3</v>
      </c>
      <c r="H9" s="0" t="n">
        <f aca="false">SUM(H4:H8)</f>
        <v>2</v>
      </c>
      <c r="I9" s="0" t="n">
        <f aca="false">SUM(I4:I8)</f>
        <v>0</v>
      </c>
    </row>
    <row r="10" customFormat="false" ht="15" hidden="false" customHeight="false" outlineLevel="0" collapsed="false">
      <c r="A10" s="3" t="s">
        <v>7</v>
      </c>
      <c r="B10" s="0" t="n">
        <f aca="false">AVERAGE(B4:B8)</f>
        <v>0.2</v>
      </c>
      <c r="C10" s="0" t="n">
        <f aca="false">AVERAGE(C4:C8)</f>
        <v>0.4</v>
      </c>
      <c r="E10" s="0" t="n">
        <f aca="false">AVERAGE(E4:E8)</f>
        <v>0.2</v>
      </c>
      <c r="F10" s="0" t="n">
        <f aca="false">AVERAGE(F4:F8)</f>
        <v>0.6</v>
      </c>
      <c r="H10" s="0" t="n">
        <f aca="false">AVERAGE(H4:H8)</f>
        <v>0.4</v>
      </c>
      <c r="I10" s="0" t="n">
        <f aca="false">AVERAGE(I4:I8)</f>
        <v>0</v>
      </c>
    </row>
    <row r="11" customFormat="false" ht="15" hidden="false" customHeight="false" outlineLevel="0" collapsed="false">
      <c r="A11" s="3" t="s">
        <v>8</v>
      </c>
      <c r="B11" s="0" t="n">
        <f aca="false">STDEV(B4:B8)</f>
        <v>0.447213595499958</v>
      </c>
      <c r="C11" s="0" t="n">
        <f aca="false">STDEV(C4:C8)</f>
        <v>0.547722557505166</v>
      </c>
      <c r="E11" s="0" t="n">
        <f aca="false">STDEV(E4:E8)</f>
        <v>0.447213595499958</v>
      </c>
      <c r="F11" s="0" t="n">
        <f aca="false">STDEV(F4:F8)</f>
        <v>0.547722557505166</v>
      </c>
      <c r="H11" s="0" t="n">
        <f aca="false">STDEV(H4:H8)</f>
        <v>0.547722557505166</v>
      </c>
      <c r="I11" s="0" t="n">
        <f aca="false">STDEV(I4:I8)</f>
        <v>0</v>
      </c>
    </row>
    <row r="12" customFormat="false" ht="15" hidden="false" customHeight="false" outlineLevel="0" collapsed="false">
      <c r="A12" s="3" t="s">
        <v>9</v>
      </c>
      <c r="B12" s="0" t="n">
        <f aca="false">B10*100</f>
        <v>20</v>
      </c>
      <c r="C12" s="0" t="n">
        <f aca="false">C10*100</f>
        <v>40</v>
      </c>
      <c r="E12" s="0" t="n">
        <f aca="false">E10*100</f>
        <v>20</v>
      </c>
      <c r="F12" s="0" t="n">
        <f aca="false">F10*100</f>
        <v>60</v>
      </c>
      <c r="H12" s="0" t="n">
        <f aca="false">H10*100</f>
        <v>40</v>
      </c>
      <c r="I12" s="0" t="n">
        <f aca="false">I10*100</f>
        <v>0</v>
      </c>
    </row>
    <row r="15" customFormat="false" ht="15" hidden="false" customHeight="false" outlineLevel="0" collapsed="false">
      <c r="B15" s="1" t="s">
        <v>10</v>
      </c>
    </row>
    <row r="16" customFormat="false" ht="15" hidden="false" customHeight="false" outlineLevel="0" collapsed="false">
      <c r="B16" s="2" t="s">
        <v>1</v>
      </c>
      <c r="C16" s="2"/>
      <c r="E16" s="2" t="s">
        <v>2</v>
      </c>
      <c r="F16" s="2"/>
      <c r="H16" s="2" t="s">
        <v>3</v>
      </c>
      <c r="I16" s="2"/>
    </row>
    <row r="17" customFormat="false" ht="15" hidden="false" customHeight="false" outlineLevel="0" collapsed="false">
      <c r="B17" s="3" t="s">
        <v>4</v>
      </c>
      <c r="C17" s="3" t="s">
        <v>5</v>
      </c>
      <c r="E17" s="3" t="s">
        <v>4</v>
      </c>
      <c r="F17" s="3" t="s">
        <v>5</v>
      </c>
      <c r="H17" s="3" t="s">
        <v>4</v>
      </c>
      <c r="I17" s="3" t="s">
        <v>5</v>
      </c>
    </row>
    <row r="18" customFormat="false" ht="15" hidden="false" customHeight="false" outlineLevel="0" collapsed="false">
      <c r="B18" s="4" t="n">
        <v>1</v>
      </c>
      <c r="C18" s="4" t="n">
        <v>0</v>
      </c>
      <c r="E18" s="4" t="n">
        <v>0</v>
      </c>
      <c r="F18" s="4" t="n">
        <v>0</v>
      </c>
      <c r="H18" s="4" t="n">
        <v>1</v>
      </c>
      <c r="I18" s="4" t="n">
        <v>0</v>
      </c>
    </row>
    <row r="19" customFormat="false" ht="15" hidden="false" customHeight="false" outlineLevel="0" collapsed="false">
      <c r="B19" s="4" t="n">
        <v>0</v>
      </c>
      <c r="C19" s="4" t="n">
        <v>0</v>
      </c>
      <c r="E19" s="4" t="n">
        <v>1</v>
      </c>
      <c r="F19" s="4" t="n">
        <v>0</v>
      </c>
      <c r="H19" s="4" t="n">
        <v>1</v>
      </c>
      <c r="I19" s="4" t="n">
        <v>0</v>
      </c>
    </row>
    <row r="20" customFormat="false" ht="15" hidden="false" customHeight="false" outlineLevel="0" collapsed="false">
      <c r="B20" s="4" t="n">
        <v>1</v>
      </c>
      <c r="C20" s="4" t="n">
        <v>0</v>
      </c>
      <c r="E20" s="4" t="n">
        <v>0</v>
      </c>
      <c r="F20" s="4" t="n">
        <v>0</v>
      </c>
      <c r="H20" s="4" t="n">
        <v>0</v>
      </c>
      <c r="I20" s="4" t="n">
        <v>0</v>
      </c>
    </row>
    <row r="21" customFormat="false" ht="15" hidden="false" customHeight="false" outlineLevel="0" collapsed="false">
      <c r="B21" s="4" t="n">
        <v>1</v>
      </c>
      <c r="C21" s="4" t="n">
        <v>0</v>
      </c>
      <c r="E21" s="4" t="n">
        <v>0</v>
      </c>
      <c r="F21" s="4" t="n">
        <v>0</v>
      </c>
      <c r="H21" s="4" t="n">
        <v>0</v>
      </c>
      <c r="I21" s="4" t="n">
        <v>1</v>
      </c>
    </row>
    <row r="22" customFormat="false" ht="15" hidden="false" customHeight="false" outlineLevel="0" collapsed="false">
      <c r="B22" s="4" t="n">
        <v>0</v>
      </c>
      <c r="C22" s="4" t="n">
        <v>0</v>
      </c>
      <c r="E22" s="4" t="n">
        <v>0</v>
      </c>
      <c r="F22" s="4" t="n">
        <v>1</v>
      </c>
      <c r="H22" s="4" t="n">
        <v>0</v>
      </c>
      <c r="I22" s="4" t="n">
        <v>0</v>
      </c>
    </row>
    <row r="23" customFormat="false" ht="15" hidden="false" customHeight="false" outlineLevel="0" collapsed="false">
      <c r="A23" s="3" t="s">
        <v>6</v>
      </c>
      <c r="B23" s="0" t="n">
        <f aca="false">SUM(B18:B22)</f>
        <v>3</v>
      </c>
      <c r="C23" s="0" t="n">
        <f aca="false">SUM(C18:C22)</f>
        <v>0</v>
      </c>
      <c r="E23" s="0" t="n">
        <f aca="false">SUM(E18:E22)</f>
        <v>1</v>
      </c>
      <c r="F23" s="0" t="n">
        <f aca="false">SUM(F18:F22)</f>
        <v>1</v>
      </c>
      <c r="H23" s="0" t="n">
        <f aca="false">SUM(H18:H22)</f>
        <v>2</v>
      </c>
      <c r="I23" s="0" t="n">
        <f aca="false">SUM(I18:I22)</f>
        <v>1</v>
      </c>
    </row>
    <row r="24" customFormat="false" ht="15" hidden="false" customHeight="false" outlineLevel="0" collapsed="false">
      <c r="A24" s="3" t="s">
        <v>7</v>
      </c>
      <c r="B24" s="0" t="n">
        <f aca="false">AVERAGE(B18:B22)</f>
        <v>0.6</v>
      </c>
      <c r="C24" s="0" t="n">
        <f aca="false">AVERAGE(C18:C22)</f>
        <v>0</v>
      </c>
      <c r="E24" s="0" t="n">
        <f aca="false">AVERAGE(E18:E22)</f>
        <v>0.2</v>
      </c>
      <c r="F24" s="0" t="n">
        <f aca="false">AVERAGE(F18:F22)</f>
        <v>0.2</v>
      </c>
      <c r="H24" s="0" t="n">
        <f aca="false">AVERAGE(H18:H22)</f>
        <v>0.4</v>
      </c>
      <c r="I24" s="0" t="n">
        <f aca="false">AVERAGE(I18:I22)</f>
        <v>0.2</v>
      </c>
    </row>
    <row r="25" customFormat="false" ht="15" hidden="false" customHeight="false" outlineLevel="0" collapsed="false">
      <c r="A25" s="3" t="s">
        <v>8</v>
      </c>
      <c r="B25" s="0" t="n">
        <f aca="false">STDEV(B18:B22)</f>
        <v>0.547722557505166</v>
      </c>
      <c r="C25" s="0" t="n">
        <f aca="false">STDEV(C18:C22)</f>
        <v>0</v>
      </c>
      <c r="E25" s="0" t="n">
        <f aca="false">STDEV(E18:E22)</f>
        <v>0.447213595499958</v>
      </c>
      <c r="F25" s="0" t="n">
        <f aca="false">STDEV(F18:F22)</f>
        <v>0.447213595499958</v>
      </c>
      <c r="H25" s="0" t="n">
        <f aca="false">STDEV(H18:H22)</f>
        <v>0.547722557505166</v>
      </c>
      <c r="I25" s="0" t="n">
        <f aca="false">STDEV(I18:I22)</f>
        <v>0.447213595499958</v>
      </c>
    </row>
    <row r="26" customFormat="false" ht="15" hidden="false" customHeight="false" outlineLevel="0" collapsed="false">
      <c r="A26" s="3" t="s">
        <v>9</v>
      </c>
      <c r="B26" s="0" t="n">
        <f aca="false">B24*100</f>
        <v>60</v>
      </c>
      <c r="C26" s="0" t="n">
        <f aca="false">C24*100</f>
        <v>0</v>
      </c>
      <c r="E26" s="0" t="n">
        <f aca="false">E24*100</f>
        <v>20</v>
      </c>
      <c r="F26" s="0" t="n">
        <f aca="false">F24*100</f>
        <v>20</v>
      </c>
      <c r="H26" s="0" t="n">
        <f aca="false">H24*100</f>
        <v>40</v>
      </c>
      <c r="I26" s="0" t="n">
        <f aca="false">I24*100</f>
        <v>20</v>
      </c>
    </row>
  </sheetData>
  <mergeCells count="6">
    <mergeCell ref="B2:C2"/>
    <mergeCell ref="E2:F2"/>
    <mergeCell ref="H2:I2"/>
    <mergeCell ref="B16:C16"/>
    <mergeCell ref="E16:F16"/>
    <mergeCell ref="H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/>
      <c r="E2" s="2" t="s">
        <v>2</v>
      </c>
      <c r="F2" s="2"/>
      <c r="H2" s="2" t="s">
        <v>3</v>
      </c>
      <c r="I2" s="2"/>
    </row>
    <row r="3" customFormat="false" ht="15" hidden="false" customHeight="false" outlineLevel="0" collapsed="false">
      <c r="B3" s="3" t="s">
        <v>4</v>
      </c>
      <c r="C3" s="3" t="s">
        <v>5</v>
      </c>
      <c r="E3" s="3" t="s">
        <v>4</v>
      </c>
      <c r="F3" s="3" t="s">
        <v>5</v>
      </c>
      <c r="H3" s="3" t="s">
        <v>4</v>
      </c>
      <c r="I3" s="3" t="s">
        <v>5</v>
      </c>
    </row>
    <row r="4" customFormat="false" ht="15" hidden="false" customHeight="false" outlineLevel="0" collapsed="false">
      <c r="B4" s="4" t="n">
        <v>1</v>
      </c>
      <c r="C4" s="4" t="n">
        <v>0</v>
      </c>
      <c r="E4" s="4" t="n">
        <v>0</v>
      </c>
      <c r="F4" s="4" t="n">
        <v>0</v>
      </c>
      <c r="H4" s="4" t="n">
        <v>0</v>
      </c>
      <c r="I4" s="4" t="n">
        <v>1</v>
      </c>
    </row>
    <row r="5" customFormat="false" ht="15" hidden="false" customHeight="false" outlineLevel="0" collapsed="false">
      <c r="B5" s="4" t="n">
        <v>0</v>
      </c>
      <c r="C5" s="4" t="n">
        <v>0</v>
      </c>
      <c r="E5" s="4" t="n">
        <v>0</v>
      </c>
      <c r="F5" s="4" t="n">
        <v>1</v>
      </c>
      <c r="H5" s="4" t="n">
        <v>0</v>
      </c>
      <c r="I5" s="4" t="n">
        <v>0</v>
      </c>
    </row>
    <row r="6" customFormat="false" ht="15" hidden="false" customHeight="false" outlineLevel="0" collapsed="false">
      <c r="B6" s="4" t="n">
        <v>1</v>
      </c>
      <c r="C6" s="4" t="n">
        <v>0</v>
      </c>
      <c r="E6" s="4" t="n">
        <v>0</v>
      </c>
      <c r="F6" s="4" t="n">
        <v>0</v>
      </c>
      <c r="H6" s="4" t="n">
        <v>0</v>
      </c>
      <c r="I6" s="4" t="n">
        <v>1</v>
      </c>
    </row>
    <row r="7" customFormat="false" ht="15" hidden="false" customHeight="false" outlineLevel="0" collapsed="false">
      <c r="B7" s="4" t="n">
        <v>1</v>
      </c>
      <c r="C7" s="4" t="n">
        <v>0</v>
      </c>
      <c r="E7" s="4" t="n">
        <v>0</v>
      </c>
      <c r="F7" s="4" t="n">
        <v>0</v>
      </c>
      <c r="H7" s="4" t="n">
        <v>0</v>
      </c>
      <c r="I7" s="4" t="n">
        <v>0</v>
      </c>
    </row>
    <row r="8" customFormat="false" ht="15" hidden="false" customHeight="false" outlineLevel="0" collapsed="false">
      <c r="B8" s="4" t="n">
        <v>0</v>
      </c>
      <c r="C8" s="4" t="n">
        <v>1</v>
      </c>
      <c r="E8" s="4" t="n">
        <v>0</v>
      </c>
      <c r="F8" s="4" t="n">
        <v>0</v>
      </c>
      <c r="H8" s="4" t="n">
        <v>0</v>
      </c>
      <c r="I8" s="4" t="n">
        <v>0</v>
      </c>
    </row>
    <row r="9" customFormat="false" ht="15" hidden="false" customHeight="false" outlineLevel="0" collapsed="false">
      <c r="A9" s="3" t="s">
        <v>6</v>
      </c>
      <c r="B9" s="0" t="n">
        <f aca="false">SUM(B4:B8)</f>
        <v>3</v>
      </c>
      <c r="C9" s="0" t="n">
        <f aca="false">SUM(C4:C8)</f>
        <v>1</v>
      </c>
      <c r="E9" s="0" t="n">
        <f aca="false">SUM(E4:E8)</f>
        <v>0</v>
      </c>
      <c r="F9" s="0" t="n">
        <f aca="false">SUM(F4:F8)</f>
        <v>1</v>
      </c>
      <c r="H9" s="0" t="n">
        <f aca="false">SUM(H4:H8)</f>
        <v>0</v>
      </c>
      <c r="I9" s="0" t="n">
        <f aca="false">SUM(I4:I8)</f>
        <v>2</v>
      </c>
    </row>
    <row r="10" customFormat="false" ht="15" hidden="false" customHeight="false" outlineLevel="0" collapsed="false">
      <c r="A10" s="3" t="s">
        <v>7</v>
      </c>
      <c r="B10" s="0" t="n">
        <f aca="false">AVERAGE(B4:B8)</f>
        <v>0.6</v>
      </c>
      <c r="C10" s="0" t="n">
        <f aca="false">AVERAGE(C4:C8)</f>
        <v>0.2</v>
      </c>
      <c r="E10" s="0" t="n">
        <f aca="false">AVERAGE(E4:E8)</f>
        <v>0</v>
      </c>
      <c r="F10" s="0" t="n">
        <f aca="false">AVERAGE(F4:F8)</f>
        <v>0.2</v>
      </c>
      <c r="H10" s="0" t="n">
        <f aca="false">AVERAGE(H4:H8)</f>
        <v>0</v>
      </c>
      <c r="I10" s="0" t="n">
        <f aca="false">AVERAGE(I4:I8)</f>
        <v>0.4</v>
      </c>
    </row>
    <row r="11" customFormat="false" ht="15" hidden="false" customHeight="false" outlineLevel="0" collapsed="false">
      <c r="A11" s="3" t="s">
        <v>8</v>
      </c>
      <c r="B11" s="0" t="n">
        <f aca="false">STDEV(B4:B8)</f>
        <v>0.547722557505166</v>
      </c>
      <c r="C11" s="0" t="n">
        <f aca="false">STDEV(C4:C8)</f>
        <v>0.447213595499958</v>
      </c>
      <c r="E11" s="0" t="n">
        <f aca="false">STDEV(E4:E8)</f>
        <v>0</v>
      </c>
      <c r="F11" s="0" t="n">
        <f aca="false">STDEV(F4:F8)</f>
        <v>0.447213595499958</v>
      </c>
      <c r="H11" s="0" t="n">
        <f aca="false">STDEV(H4:H8)</f>
        <v>0</v>
      </c>
      <c r="I11" s="0" t="n">
        <f aca="false">STDEV(I4:I8)</f>
        <v>0.547722557505166</v>
      </c>
    </row>
    <row r="12" customFormat="false" ht="15" hidden="false" customHeight="false" outlineLevel="0" collapsed="false">
      <c r="A12" s="3" t="s">
        <v>9</v>
      </c>
      <c r="B12" s="0" t="n">
        <f aca="false">B10*100</f>
        <v>60</v>
      </c>
      <c r="C12" s="0" t="n">
        <f aca="false">C10*100</f>
        <v>20</v>
      </c>
      <c r="E12" s="0" t="n">
        <f aca="false">E10*100</f>
        <v>0</v>
      </c>
      <c r="F12" s="0" t="n">
        <f aca="false">F10*100</f>
        <v>20</v>
      </c>
      <c r="H12" s="0" t="n">
        <f aca="false">H10*100</f>
        <v>0</v>
      </c>
      <c r="I12" s="0" t="n">
        <f aca="false">I10*100</f>
        <v>40</v>
      </c>
    </row>
    <row r="15" customFormat="false" ht="15" hidden="false" customHeight="false" outlineLevel="0" collapsed="false">
      <c r="B15" s="1" t="s">
        <v>10</v>
      </c>
    </row>
    <row r="16" customFormat="false" ht="15" hidden="false" customHeight="false" outlineLevel="0" collapsed="false">
      <c r="B16" s="2" t="s">
        <v>1</v>
      </c>
      <c r="C16" s="2"/>
      <c r="E16" s="2" t="s">
        <v>2</v>
      </c>
      <c r="F16" s="2"/>
      <c r="H16" s="2" t="s">
        <v>3</v>
      </c>
      <c r="I16" s="2"/>
    </row>
    <row r="17" customFormat="false" ht="15" hidden="false" customHeight="false" outlineLevel="0" collapsed="false">
      <c r="B17" s="3" t="s">
        <v>4</v>
      </c>
      <c r="C17" s="3" t="s">
        <v>5</v>
      </c>
      <c r="E17" s="3" t="s">
        <v>4</v>
      </c>
      <c r="F17" s="3" t="s">
        <v>5</v>
      </c>
      <c r="H17" s="3" t="s">
        <v>4</v>
      </c>
      <c r="I17" s="3" t="s">
        <v>5</v>
      </c>
    </row>
    <row r="18" customFormat="false" ht="15" hidden="false" customHeight="false" outlineLevel="0" collapsed="false">
      <c r="B18" s="4" t="n">
        <v>0</v>
      </c>
      <c r="C18" s="4" t="n">
        <v>0</v>
      </c>
      <c r="E18" s="4" t="n">
        <v>1</v>
      </c>
      <c r="F18" s="4" t="n">
        <v>1</v>
      </c>
      <c r="H18" s="4" t="n">
        <v>0</v>
      </c>
      <c r="I18" s="4" t="n">
        <v>0</v>
      </c>
    </row>
    <row r="19" customFormat="false" ht="15" hidden="false" customHeight="false" outlineLevel="0" collapsed="false">
      <c r="B19" s="4" t="n">
        <v>0</v>
      </c>
      <c r="C19" s="4" t="n">
        <v>0</v>
      </c>
      <c r="E19" s="4" t="n">
        <v>1</v>
      </c>
      <c r="F19" s="4" t="n">
        <v>0</v>
      </c>
      <c r="H19" s="4" t="n">
        <v>0</v>
      </c>
      <c r="I19" s="4" t="n">
        <v>0</v>
      </c>
    </row>
    <row r="20" customFormat="false" ht="15" hidden="false" customHeight="false" outlineLevel="0" collapsed="false">
      <c r="B20" s="4" t="n">
        <v>0</v>
      </c>
      <c r="C20" s="4" t="n">
        <v>0</v>
      </c>
      <c r="E20" s="4" t="n">
        <v>0</v>
      </c>
      <c r="F20" s="4" t="n">
        <v>0</v>
      </c>
      <c r="H20" s="4" t="n">
        <v>0</v>
      </c>
      <c r="I20" s="4" t="n">
        <v>0</v>
      </c>
    </row>
    <row r="21" customFormat="false" ht="15" hidden="false" customHeight="false" outlineLevel="0" collapsed="false">
      <c r="B21" s="4" t="n">
        <v>0</v>
      </c>
      <c r="C21" s="4" t="n">
        <v>1</v>
      </c>
      <c r="E21" s="4" t="n">
        <v>0</v>
      </c>
      <c r="F21" s="4" t="n">
        <v>0</v>
      </c>
      <c r="H21" s="4" t="n">
        <v>0</v>
      </c>
      <c r="I21" s="4" t="n">
        <v>0</v>
      </c>
    </row>
    <row r="22" customFormat="false" ht="15" hidden="false" customHeight="false" outlineLevel="0" collapsed="false">
      <c r="B22" s="4" t="n">
        <v>1</v>
      </c>
      <c r="C22" s="4" t="n">
        <v>0</v>
      </c>
      <c r="E22" s="4" t="n">
        <v>1</v>
      </c>
      <c r="F22" s="4" t="n">
        <v>1</v>
      </c>
      <c r="H22" s="4" t="n">
        <v>1</v>
      </c>
      <c r="I22" s="4" t="n">
        <v>0</v>
      </c>
    </row>
    <row r="23" customFormat="false" ht="15" hidden="false" customHeight="false" outlineLevel="0" collapsed="false">
      <c r="A23" s="3" t="s">
        <v>6</v>
      </c>
      <c r="B23" s="0" t="n">
        <f aca="false">SUM(B18:B22)</f>
        <v>1</v>
      </c>
      <c r="C23" s="0" t="n">
        <f aca="false">SUM(C18:C22)</f>
        <v>1</v>
      </c>
      <c r="E23" s="0" t="n">
        <f aca="false">SUM(E18:E22)</f>
        <v>3</v>
      </c>
      <c r="F23" s="0" t="n">
        <f aca="false">SUM(F18:F22)</f>
        <v>2</v>
      </c>
      <c r="H23" s="0" t="n">
        <f aca="false">SUM(H18:H22)</f>
        <v>1</v>
      </c>
      <c r="I23" s="0" t="n">
        <f aca="false">SUM(I18:I22)</f>
        <v>0</v>
      </c>
    </row>
    <row r="24" customFormat="false" ht="15" hidden="false" customHeight="false" outlineLevel="0" collapsed="false">
      <c r="A24" s="3" t="s">
        <v>7</v>
      </c>
      <c r="B24" s="0" t="n">
        <f aca="false">AVERAGE(B18:B22)</f>
        <v>0.2</v>
      </c>
      <c r="C24" s="0" t="n">
        <f aca="false">AVERAGE(C18:C22)</f>
        <v>0.2</v>
      </c>
      <c r="E24" s="0" t="n">
        <f aca="false">AVERAGE(E18:E22)</f>
        <v>0.6</v>
      </c>
      <c r="F24" s="0" t="n">
        <f aca="false">AVERAGE(F18:F22)</f>
        <v>0.4</v>
      </c>
      <c r="H24" s="0" t="n">
        <f aca="false">AVERAGE(H18:H22)</f>
        <v>0.2</v>
      </c>
      <c r="I24" s="0" t="n">
        <f aca="false">AVERAGE(I18:I22)</f>
        <v>0</v>
      </c>
    </row>
    <row r="25" customFormat="false" ht="15" hidden="false" customHeight="false" outlineLevel="0" collapsed="false">
      <c r="A25" s="3" t="s">
        <v>8</v>
      </c>
      <c r="B25" s="0" t="n">
        <f aca="false">STDEV(B18:B22)</f>
        <v>0.447213595499958</v>
      </c>
      <c r="C25" s="0" t="n">
        <f aca="false">STDEV(C18:C22)</f>
        <v>0.447213595499958</v>
      </c>
      <c r="E25" s="0" t="n">
        <f aca="false">STDEV(E18:E22)</f>
        <v>0.547722557505166</v>
      </c>
      <c r="F25" s="0" t="n">
        <f aca="false">STDEV(F18:F22)</f>
        <v>0.547722557505166</v>
      </c>
      <c r="H25" s="0" t="n">
        <f aca="false">STDEV(H18:H22)</f>
        <v>0.447213595499958</v>
      </c>
      <c r="I25" s="0" t="n">
        <f aca="false">STDEV(I18:I22)</f>
        <v>0</v>
      </c>
    </row>
    <row r="26" customFormat="false" ht="15" hidden="false" customHeight="false" outlineLevel="0" collapsed="false">
      <c r="A26" s="3" t="s">
        <v>9</v>
      </c>
      <c r="B26" s="0" t="n">
        <f aca="false">B24*100</f>
        <v>20</v>
      </c>
      <c r="C26" s="0" t="n">
        <f aca="false">C24*100</f>
        <v>20</v>
      </c>
      <c r="E26" s="0" t="n">
        <f aca="false">E24*100</f>
        <v>60</v>
      </c>
      <c r="F26" s="0" t="n">
        <f aca="false">F24*100</f>
        <v>40</v>
      </c>
      <c r="H26" s="0" t="n">
        <f aca="false">H24*100</f>
        <v>20</v>
      </c>
      <c r="I26" s="0" t="n">
        <f aca="false">I24*100</f>
        <v>0</v>
      </c>
    </row>
  </sheetData>
  <mergeCells count="6">
    <mergeCell ref="B2:C2"/>
    <mergeCell ref="E2:F2"/>
    <mergeCell ref="H2:I2"/>
    <mergeCell ref="B16:C16"/>
    <mergeCell ref="E16:F16"/>
    <mergeCell ref="H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2026-07-15T05:02:33Z</dcterms:created>
  <dc:creator>openpyxl</dc:creator>
  <dc:description/>
  <dc:language>en-US</dc:language>
  <cp:lastModifiedBy/>
  <dcterms:modified xsi:type="dcterms:W3CDTF">2026-07-15T05:02:33Z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